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8ae7c0657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a6823ef378f43a6"/>
    <x:sheet xmlns:r="http://schemas.openxmlformats.org/officeDocument/2006/relationships" name="Dashboard" sheetId="2" r:id="R4760b615d1c84c86"/>
    <x:sheet xmlns:r="http://schemas.openxmlformats.org/officeDocument/2006/relationships" name="Students" sheetId="3" r:id="R6fd6dca0e76848b2"/>
    <x:sheet xmlns:r="http://schemas.openxmlformats.org/officeDocument/2006/relationships" name="Settings" sheetId="4" r:id="R6c99eef914cf4e4e"/>
    <x:sheet xmlns:r="http://schemas.openxmlformats.org/officeDocument/2006/relationships" name="Notices" sheetId="5" r:id="R2b867611d1ac4c69"/>
    <x:sheet xmlns:r="http://schemas.openxmlformats.org/officeDocument/2006/relationships" name="PointLogs" sheetId="6" r:id="R1848718137a04bdc"/>
    <x:sheet xmlns:r="http://schemas.openxmlformats.org/officeDocument/2006/relationships" name="PointRules" sheetId="7" r:id="Rcfb948de71bd4317"/>
    <x:sheet xmlns:r="http://schemas.openxmlformats.org/officeDocument/2006/relationships" name="Surveys" sheetId="8" r:id="R572933a55e7b40d7"/>
    <x:sheet xmlns:r="http://schemas.openxmlformats.org/officeDocument/2006/relationships" name="SurveyOptions" sheetId="9" r:id="Rf67060c929d44946"/>
    <x:sheet xmlns:r="http://schemas.openxmlformats.org/officeDocument/2006/relationships" name="SurveyResponses" sheetId="10" r:id="R286966bc3a7e4ad8"/>
    <x:sheet xmlns:r="http://schemas.openxmlformats.org/officeDocument/2006/relationships" name="AvatarItems" sheetId="11" r:id="Rf1d01fb6bdcc48ef"/>
    <x:sheet xmlns:r="http://schemas.openxmlformats.org/officeDocument/2006/relationships" name="Rewards" sheetId="12" r:id="Rf1dd4bf9478c41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 hh:mm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1F2933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AF9F4"/>
      </x:patternFill>
    </x:fill>
  </x:fills>
  <x:borders count="9">
    <x:border/>
    <x:border>
      <x:left style="thin">
        <x:color rgb="FFD7E3DE"/>
      </x:left>
      <x:top style="thin">
        <x:color rgb="FFD7E3DE"/>
      </x:top>
    </x:border>
    <x:border>
      <x:right style="thin">
        <x:color rgb="FFD7E3DE"/>
      </x:right>
      <x:top style="thin">
        <x:color rgb="FFD7E3DE"/>
      </x:top>
    </x:border>
    <x:border>
      <x:left style="thin">
        <x:color rgb="FFD7E3DE"/>
      </x:left>
      <x:bottom style="thin">
        <x:color rgb="FFD7E3DE"/>
      </x:bottom>
    </x:border>
    <x:border>
      <x:right style="thin">
        <x:color rgb="FFD7E3DE"/>
      </x:right>
      <x:bottom style="thin">
        <x:color rgb="FFD7E3DE"/>
      </x:bottom>
    </x:border>
    <x:border>
      <x:top style="thin">
        <x:color rgb="FFD7E3DE"/>
      </x:top>
      <x:bottom style="thin">
        <x:color rgb="FFD7E3DE"/>
      </x:bottom>
    </x:border>
    <x:border>
      <x:top style="thin">
        <x:color rgb="FFD7E3DE"/>
      </x:top>
    </x:border>
    <x:border>
      <x:bottom style="thin">
        <x:color rgb="FFD7E3DE"/>
      </x:bottom>
    </x:border>
    <x:border>
      <x:left style="thin">
        <x:color rgb="FFD7E3DE"/>
      </x:left>
      <x:right style="thin">
        <x:color rgb="FFD7E3DE"/>
      </x:right>
      <x:top style="thin">
        <x:color rgb="FFD7E3DE"/>
      </x:top>
      <x:bottom style="thin">
        <x:color rgb="FFD7E3D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3" fillId="2" borderId="0" xfId="0" applyNumberFormat="1" applyFont="1" applyFill="1" applyBorder="1"/>
    <x:xf numFmtId="0" fontId="3" fillId="2" borderId="5" xfId="0" applyNumberFormat="1" applyFont="1" applyFill="1" applyBorder="1"/>
    <x:xf numFmtId="0" fontId="0" fillId="0" borderId="5" xfId="0" applyNumberFormat="1" applyFont="1" applyFill="1" applyBorder="1"/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2" borderId="8" xfId="0" applyNumberFormat="1" applyFont="1" applyFill="1" applyBorder="1"/>
    <x:xf numFmtId="0" fontId="0" fillId="0" borderId="8" xfId="0" applyNumberFormat="1" applyFont="1" applyFill="1" applyBorder="1"/>
    <x:xf numFmtId="200" fontId="4" fillId="0" borderId="5" xfId="0" applyNumberFormat="1" applyFont="1" applyFill="1" applyBorder="1" applyAlignment="1">
      <x:alignment wrapText="1"/>
    </x:xf>
    <x:xf numFmtId="201" fontId="4" fillId="0" borderId="5" xfId="0" applyNumberFormat="1" applyFont="1" applyFill="1" applyBorder="1" applyAlignment="1">
      <x:alignment wrapText="1"/>
    </x:xf>
    <x:xf numFmtId="202" fontId="4" fillId="0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eaa1e828144ee" /><Relationship Type="http://schemas.openxmlformats.org/officeDocument/2006/relationships/theme" Target="/xl/theme/theme1.xml" Id="R3de3dedaa73e48a9" /><Relationship Type="http://schemas.openxmlformats.org/officeDocument/2006/relationships/sharedStrings" Target="/xl/sharedStrings.xml" Id="Reaa15b9bc2884fdc" /><Relationship Type="http://schemas.openxmlformats.org/officeDocument/2006/relationships/worksheet" Target="/xl/worksheets/sheet1.xml" Id="Rfa6823ef378f43a6" /><Relationship Type="http://schemas.openxmlformats.org/officeDocument/2006/relationships/worksheet" Target="/xl/worksheets/sheet2.xml" Id="R4760b615d1c84c86" /><Relationship Type="http://schemas.openxmlformats.org/officeDocument/2006/relationships/worksheet" Target="/xl/worksheets/sheet3.xml" Id="R6fd6dca0e76848b2" /><Relationship Type="http://schemas.openxmlformats.org/officeDocument/2006/relationships/worksheet" Target="/xl/worksheets/sheet4.xml" Id="R6c99eef914cf4e4e" /><Relationship Type="http://schemas.openxmlformats.org/officeDocument/2006/relationships/worksheet" Target="/xl/worksheets/sheet5.xml" Id="R2b867611d1ac4c69" /><Relationship Type="http://schemas.openxmlformats.org/officeDocument/2006/relationships/worksheet" Target="/xl/worksheets/sheet6.xml" Id="R1848718137a04bdc" /><Relationship Type="http://schemas.openxmlformats.org/officeDocument/2006/relationships/worksheet" Target="/xl/worksheets/sheet7.xml" Id="Rcfb948de71bd4317" /><Relationship Type="http://schemas.openxmlformats.org/officeDocument/2006/relationships/worksheet" Target="/xl/worksheets/sheet8.xml" Id="R572933a55e7b40d7" /><Relationship Type="http://schemas.openxmlformats.org/officeDocument/2006/relationships/worksheet" Target="/xl/worksheets/sheet9.xml" Id="Rf67060c929d44946" /><Relationship Type="http://schemas.openxmlformats.org/officeDocument/2006/relationships/worksheet" Target="/xl/worksheets/sheet10.xml" Id="R286966bc3a7e4ad8" /><Relationship Type="http://schemas.openxmlformats.org/officeDocument/2006/relationships/worksheet" Target="/xl/worksheets/sheet11.xml" Id="Rf1d01fb6bdcc48ef" /><Relationship Type="http://schemas.openxmlformats.org/officeDocument/2006/relationships/worksheet" Target="/xl/worksheets/sheet12.xml" Id="Rf1dd4bf9478c41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19.200000762939453" hidden="0" customHeight="1">
      <x:c r="A1" s="5" t="str">
        <x:v>Classroom HQ Google Sheets 구성 안내</x:v>
      </x:c>
      <x:c r="B1" s="6"/>
    </x:row>
    <x:row r="2" ht="15" hidden="0" customHeight="1">
      <x:c r="A2" s="7" t="str">
        <x:v>선생님이 직접 읽는 안내 탭입니다. 앱 연동 전에 전체 구조를 확인하세요.</x:v>
      </x:c>
      <x:c r="B2" s="8"/>
    </x:row>
    <x:row r="3"/>
    <x:row r="4" ht="15" hidden="0" customHeight="1">
      <x:c r="A4" s="10" t="str">
        <x:v>항목</x:v>
      </x:c>
      <x:c r="B4" s="10" t="str">
        <x:v>설명</x:v>
      </x:c>
    </x:row>
    <x:row r="5" ht="15" hidden="0" customHeight="1">
      <x:c r="A5" s="13" t="str">
        <x:v>목적</x:v>
      </x:c>
      <x:c r="B5" s="13" t="str">
        <x:v>2학기 학급 운영 앱과 연결할 Google Sheets 기본 구조입니다.</x:v>
      </x:c>
    </x:row>
    <x:row r="6" ht="15" hidden="0" customHeight="1">
      <x:c r="A6" s="13" t="str">
        <x:v>운영 흐름</x:v>
      </x:c>
      <x:c r="B6" s="13" t="str">
        <x:v>교사 앱은 이 시트에 공지/포인트/설문을 쓰고, 학생 앱은 본인에게 필요한 데이터만 읽습니다.</x:v>
      </x:c>
    </x:row>
    <x:row r="7" ht="15" hidden="0" customHeight="1">
      <x:c r="A7" s="13" t="str">
        <x:v>비밀번호</x:v>
      </x:c>
      <x:c r="B7" s="13" t="str">
        <x:v>학생 비밀번호는 Students 탭의 password_code에 넣되, 앱 화면 파일에 직접 넣지 않는 것을 권장합니다.</x:v>
      </x:c>
    </x:row>
    <x:row r="8" ht="15" hidden="0" customHeight="1">
      <x:c r="A8" s="13" t="str">
        <x:v>포인트</x:v>
      </x:c>
      <x:c r="B8" s="13" t="str">
        <x:v>PointLogs 탭에 기록을 추가하면 Students 탭의 point_delta, total_points, rank, level이 계산됩니다.</x:v>
      </x:c>
    </x:row>
    <x:row r="9" ht="26.399999618530273" hidden="0" customHeight="1">
      <x:c r="A9" s="13" t="str">
        <x:v>설문</x:v>
      </x:c>
      <x:c r="B9" s="13" t="str">
        <x:v>선택형은 Surveys + SurveyOptions + SurveyResponses를 함께 사용하고, 주관식은 SurveyResponses의 text_response를 사용합니다.</x:v>
      </x:c>
    </x:row>
    <x:row r="10" ht="15" hidden="0" customHeight="1">
      <x:c r="A10" s="13" t="str">
        <x:v>아바타</x:v>
      </x:c>
      <x:c r="B10" s="13" t="str">
        <x:v>AvatarItems의 unlock_points 기준으로 남/여 기본 아바타와 옷 해금 여부를 판단합니다.</x:v>
      </x:c>
    </x:row>
    <x:row r="11" ht="15" hidden="0" customHeight="1">
      <x:c r="A11" s="13" t="str">
        <x:v>다음 단계</x:v>
      </x:c>
      <x:c r="B11" s="13" t="str">
        <x:v>이 템플릿을 Google Sheets로 가져온 뒤 Apps Script API를 붙이면 실제 앱과 연동할 수 있습니다.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4" max="4" width="13.75" hidden="0" customWidth="1"/>
    <x:col min="2" max="2" width="18.75" hidden="0" customWidth="1"/>
    <x:col min="5" max="5" width="17.5" hidden="0" customWidth="1"/>
    <x:col min="6" max="6" width="16.25" hidden="0" customWidth="1"/>
  </x:cols>
  <x:sheetData>
    <x:row r="1" ht="19.200000762939453" hidden="0" customHeight="1">
      <x:c r="A1" s="5" t="str">
        <x:v>Classroom HQ 운영 대시보드</x:v>
      </x:c>
      <x:c r="B1" s="14"/>
      <x:c r="C1" s="14"/>
      <x:c r="D1" s="14"/>
      <x:c r="E1" s="14"/>
      <x:c r="F1" s="14"/>
      <x:c r="G1" s="6"/>
    </x:row>
    <x:row r="2" ht="15" hidden="0" customHeight="1">
      <x:c r="A2" s="7" t="str">
        <x:v>Google Sheets로 가져온 뒤 자동 집계 확인용으로 사용합니다.</x:v>
      </x:c>
      <x:c r="B2" s="15"/>
      <x:c r="C2" s="15"/>
      <x:c r="D2" s="15"/>
      <x:c r="E2" s="15"/>
      <x:c r="F2" s="15"/>
      <x:c r="G2" s="8"/>
    </x:row>
    <x:row r="3"/>
    <x:row r="4" ht="15" hidden="0" customHeight="1">
      <x:c r="A4" s="16" t="str">
        <x:v>지표</x:v>
      </x:c>
      <x:c r="B4" s="16" t="str">
        <x:v>값</x:v>
      </x:c>
      <x:c r="D4" s="16" t="str">
        <x:v>순위</x:v>
      </x:c>
      <x:c r="E4" s="16" t="str">
        <x:v>학생</x:v>
      </x:c>
      <x:c r="F4" s="16" t="str">
        <x:v>누적 포인트</x:v>
      </x:c>
    </x:row>
    <x:row r="5" ht="15" hidden="0" customHeight="1">
      <x:c r="A5" s="17" t="str">
        <x:v>활성 학생 수</x:v>
      </x:c>
      <x:c r="B5" s="17" t="n">
        <x:f>COUNTIF('Students'!$E$5:$E$19,"Y")</x:f>
        <x:v>15</x:v>
      </x:c>
      <x:c r="D5" s="17" t="n">
        <x:v>1</x:v>
      </x:c>
      <x:c r="E5" s="17" t="str">
        <x:f>IFERROR(INDEX('Students'!$C$5:$C$19,MATCH(D5,'Students'!$I$5:$I$19,0)),"")</x:f>
        <x:v>한아린</x:v>
      </x:c>
      <x:c r="F5" s="17" t="n">
        <x:f>IFERROR(INDEX('Students'!$H$5:$H$19,MATCH(D5,'Students'!$I$5:$I$19,0)),"")</x:f>
        <x:v>151</x:v>
      </x:c>
    </x:row>
    <x:row r="6" ht="15" hidden="0" customHeight="1">
      <x:c r="A6" s="17" t="str">
        <x:v>전체 누적 포인트</x:v>
      </x:c>
      <x:c r="B6" s="17" t="n">
        <x:f>SUM('Students'!$H$5:$H$19)</x:f>
        <x:v>1800</x:v>
      </x:c>
      <x:c r="D6" s="17" t="n">
        <x:v>2</x:v>
      </x:c>
      <x:c r="E6" s="17" t="str">
        <x:f>IFERROR(INDEX('Students'!$C$5:$C$19,MATCH(D6,'Students'!$I$5:$I$19,0)),"")</x:f>
        <x:v>문지아</x:v>
      </x:c>
      <x:c r="F6" s="17" t="n">
        <x:f>IFERROR(INDEX('Students'!$H$5:$H$19,MATCH(D6,'Students'!$I$5:$I$19,0)),"")</x:f>
        <x:v>147</x:v>
      </x:c>
    </x:row>
    <x:row r="7" ht="15" hidden="0" customHeight="1">
      <x:c r="A7" s="17" t="str">
        <x:v>활성 공지 수</x:v>
      </x:c>
      <x:c r="B7" s="17" t="n">
        <x:f>COUNTIF('Notices'!$H$5:$H$104,"Y")</x:f>
        <x:v>3</x:v>
      </x:c>
      <x:c r="D7" s="17" t="n">
        <x:v>3</x:v>
      </x:c>
      <x:c r="E7" s="17" t="str">
        <x:f>IFERROR(INDEX('Students'!$C$5:$C$19,MATCH(D7,'Students'!$I$5:$I$19,0)),"")</x:f>
        <x:v>이서연</x:v>
      </x:c>
      <x:c r="F7" s="17" t="n">
        <x:f>IFERROR(INDEX('Students'!$H$5:$H$19,MATCH(D7,'Students'!$I$5:$I$19,0)),"")</x:f>
        <x:v>146</x:v>
      </x:c>
    </x:row>
    <x:row r="8" ht="15" hidden="0" customHeight="1">
      <x:c r="A8" s="17" t="str">
        <x:v>진행 중 설문 수</x:v>
      </x:c>
      <x:c r="B8" s="17" t="n">
        <x:f>COUNTIF('Surveys'!$D$5:$D$104,"open")</x:f>
        <x:v>2</x:v>
      </x:c>
      <x:c r="D8" s="17" t="n">
        <x:v>4</x:v>
      </x:c>
      <x:c r="E8" s="17" t="str">
        <x:f>IFERROR(INDEX('Students'!$C$5:$C$19,MATCH(D8,'Students'!$I$5:$I$19,0)),"")</x:f>
        <x:v>장현우</x:v>
      </x:c>
      <x:c r="F8" s="17" t="n">
        <x:f>IFERROR(INDEX('Students'!$H$5:$H$19,MATCH(D8,'Students'!$I$5:$I$19,0)),"")</x:f>
        <x:v>136</x:v>
      </x:c>
    </x:row>
    <x:row r="9" ht="15" hidden="0" customHeight="1">
      <x:c r="A9" s="17" t="str">
        <x:v>누적 설문 응답 수</x:v>
      </x:c>
      <x:c r="B9" s="17" t="n">
        <x:f>COUNTA('SurveyResponses'!$A$5:$A$504)</x:f>
        <x:v>2</x:v>
      </x:c>
      <x:c r="D9" s="17" t="n">
        <x:v>5</x:v>
      </x:c>
      <x:c r="E9" s="17" t="str">
        <x:f>IFERROR(INDEX('Students'!$C$5:$C$19,MATCH(D9,'Students'!$I$5:$I$19,0)),"")</x:f>
        <x:v>김민준</x:v>
      </x:c>
      <x:c r="F9" s="17" t="n">
        <x:f>IFERROR(INDEX('Students'!$H$5:$H$19,MATCH(D9,'Students'!$I$5:$I$19,0)),"")</x:f>
        <x:v>133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8.75" hidden="0" customWidth="1"/>
    <x:col min="3" max="3" width="15" hidden="0" customWidth="1"/>
    <x:col min="4" max="4" width="15" hidden="0" customWidth="1"/>
    <x:col min="5" max="5" width="10" hidden="0" customWidth="1"/>
    <x:col min="6" max="6" width="15" hidden="0" customWidth="1"/>
    <x:col min="7" max="7" width="13.75" hidden="0" customWidth="1"/>
    <x:col min="8" max="8" width="13.75" hidden="0" customWidth="1"/>
    <x:col min="9" max="9" width="10" hidden="0" customWidth="1"/>
    <x:col min="10" max="10" width="10" hidden="0" customWidth="1"/>
    <x:col min="11" max="11" width="17.5" hidden="0" customWidth="1"/>
    <x:col min="12" max="12" width="15" hidden="0" customWidth="1"/>
    <x:col min="13" max="13" width="16.25" hidden="0" customWidth="1"/>
    <x:col min="14" max="14" width="27.5" hidden="0" customWidth="1"/>
  </x:cols>
  <x:sheetData>
    <x:row r="1" ht="19.200000762939453" hidden="0" customHeight="1">
      <x:c r="A1" s="5" t="str">
        <x:v>학생 기본 정보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6"/>
    </x:row>
    <x:row r="2" ht="15" hidden="0" customHeight="1">
      <x:c r="A2" s="7" t="str">
        <x:v>앱 로그인, 누적 포인트, 칭호, 아바타 선택 상태의 기준 탭입니다.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8"/>
    </x:row>
    <x:row r="3"/>
    <x:row r="4" ht="15" hidden="0" customHeight="1">
      <x:c r="A4" s="10" t="str">
        <x:v>student_id</x:v>
      </x:c>
      <x:c r="B4" s="10" t="str">
        <x:v>number</x:v>
      </x:c>
      <x:c r="C4" s="10" t="str">
        <x:v>name</x:v>
      </x:c>
      <x:c r="D4" s="10" t="str">
        <x:v>password_code</x:v>
      </x:c>
      <x:c r="E4" s="10" t="str">
        <x:v>active</x:v>
      </x:c>
      <x:c r="F4" s="10" t="str">
        <x:v>starting_points</x:v>
      </x:c>
      <x:c r="G4" s="10" t="str">
        <x:v>point_delta</x:v>
      </x:c>
      <x:c r="H4" s="10" t="str">
        <x:v>total_points</x:v>
      </x:c>
      <x:c r="I4" s="10" t="str">
        <x:v>rank</x:v>
      </x:c>
      <x:c r="J4" s="10" t="str">
        <x:v>level</x:v>
      </x:c>
      <x:c r="K4" s="10" t="str">
        <x:v>title</x:v>
      </x:c>
      <x:c r="L4" s="10" t="str">
        <x:v>avatar_base_id</x:v>
      </x:c>
      <x:c r="M4" s="10" t="str">
        <x:v>clothing_item_id</x:v>
      </x:c>
      <x:c r="N4" s="10" t="str">
        <x:v>memo</x:v>
      </x:c>
    </x:row>
    <x:row r="5" ht="15" hidden="0" customHeight="1">
      <x:c r="A5" s="13" t="str">
        <x:v>S01</x:v>
      </x:c>
      <x:c r="B5" s="18" t="n">
        <x:v>1</x:v>
      </x:c>
      <x:c r="C5" s="13" t="str">
        <x:v>김민준</x:v>
      </x:c>
      <x:c r="D5" s="13" t="str">
        <x:v>482913</x:v>
      </x:c>
      <x:c r="E5" s="13" t="str">
        <x:v>Y</x:v>
      </x:c>
      <x:c r="F5" s="19" t="n">
        <x:v>128</x:v>
      </x:c>
      <x:c r="G5" s="19" t="n">
        <x:f>SUMIFS('PointLogs'!$D$5:$D$504,'PointLogs'!$B$5:$B$504,A5)</x:f>
        <x:v>5</x:v>
      </x:c>
      <x:c r="H5" s="19" t="n">
        <x:f>F5+G5</x:f>
        <x:v>133</x:v>
      </x:c>
      <x:c r="I5" s="19" t="n">
        <x:f>RANK.EQ(H5,$H$5:$H$19,0)</x:f>
        <x:v>5</x:v>
      </x:c>
      <x:c r="J5" s="13" t="str">
        <x:f>IF(H5&gt;=180,"Lv.5",IF(H5&gt;=150,"Lv.4",IF(H5&gt;=100,"Lv.3",IF(H5&gt;=50,"Lv.2","Lv.1"))))</x:f>
        <x:v>Lv.3</x:v>
      </x:c>
      <x:c r="K5" s="13" t="str">
        <x:v>성실 탐험가</x:v>
      </x:c>
      <x:c r="L5" s="13" t="str">
        <x:v>boy</x:v>
      </x:c>
      <x:c r="M5" s="13" t="str">
        <x:v>basic</x:v>
      </x:c>
      <x:c r="N5" s="13" t="str"/>
    </x:row>
    <x:row r="6" ht="15" hidden="0" customHeight="1">
      <x:c r="A6" s="13" t="str">
        <x:v>S02</x:v>
      </x:c>
      <x:c r="B6" s="18" t="n">
        <x:v>2</x:v>
      </x:c>
      <x:c r="C6" s="13" t="str">
        <x:v>이서연</x:v>
      </x:c>
      <x:c r="D6" s="13" t="str">
        <x:v>719204</x:v>
      </x:c>
      <x:c r="E6" s="13" t="str">
        <x:v>Y</x:v>
      </x:c>
      <x:c r="F6" s="19" t="n">
        <x:v>142</x:v>
      </x:c>
      <x:c r="G6" s="19" t="n">
        <x:f>SUMIFS('PointLogs'!$D$5:$D$504,'PointLogs'!$B$5:$B$504,A6)</x:f>
        <x:v>4</x:v>
      </x:c>
      <x:c r="H6" s="19" t="n">
        <x:f>F6+G6</x:f>
        <x:v>146</x:v>
      </x:c>
      <x:c r="I6" s="19" t="n">
        <x:f>RANK.EQ(H6,$H$5:$H$19,0)</x:f>
        <x:v>3</x:v>
      </x:c>
      <x:c r="J6" s="13" t="str">
        <x:f>IF(H6&gt;=180,"Lv.5",IF(H6&gt;=150,"Lv.4",IF(H6&gt;=100,"Lv.3",IF(H6&gt;=50,"Lv.2","Lv.1"))))</x:f>
        <x:v>Lv.3</x:v>
      </x:c>
      <x:c r="K6" s="13" t="str">
        <x:v>협력 리더</x:v>
      </x:c>
      <x:c r="L6" s="13" t="str">
        <x:v>girl</x:v>
      </x:c>
      <x:c r="M6" s="13" t="str">
        <x:v>basic</x:v>
      </x:c>
      <x:c r="N6" s="13" t="str"/>
    </x:row>
    <x:row r="7" ht="15" hidden="0" customHeight="1">
      <x:c r="A7" s="13" t="str">
        <x:v>S03</x:v>
      </x:c>
      <x:c r="B7" s="18" t="n">
        <x:v>3</x:v>
      </x:c>
      <x:c r="C7" s="13" t="str">
        <x:v>박지후</x:v>
      </x:c>
      <x:c r="D7" s="13" t="str">
        <x:v>305871</x:v>
      </x:c>
      <x:c r="E7" s="13" t="str">
        <x:v>Y</x:v>
      </x:c>
      <x:c r="F7" s="19" t="n">
        <x:v>116</x:v>
      </x:c>
      <x:c r="G7" s="19" t="n">
        <x:f>SUMIFS('PointLogs'!$D$5:$D$504,'PointLogs'!$B$5:$B$504,A7)</x:f>
        <x:v>0</x:v>
      </x:c>
      <x:c r="H7" s="19" t="n">
        <x:f>F7+G7</x:f>
        <x:v>116</x:v>
      </x:c>
      <x:c r="I7" s="19" t="n">
        <x:f>RANK.EQ(H7,$H$5:$H$19,0)</x:f>
        <x:v>9</x:v>
      </x:c>
      <x:c r="J7" s="13" t="str">
        <x:f>IF(H7&gt;=180,"Lv.5",IF(H7&gt;=150,"Lv.4",IF(H7&gt;=100,"Lv.3",IF(H7&gt;=50,"Lv.2","Lv.1"))))</x:f>
        <x:v>Lv.3</x:v>
      </x:c>
      <x:c r="K7" s="13" t="str">
        <x:v>집중 장인</x:v>
      </x:c>
      <x:c r="L7" s="13" t="str">
        <x:v>boy</x:v>
      </x:c>
      <x:c r="M7" s="13" t="str">
        <x:v>basic</x:v>
      </x:c>
      <x:c r="N7" s="13" t="str"/>
    </x:row>
    <x:row r="8" ht="15" hidden="0" customHeight="1">
      <x:c r="A8" s="13" t="str">
        <x:v>S04</x:v>
      </x:c>
      <x:c r="B8" s="18" t="n">
        <x:v>4</x:v>
      </x:c>
      <x:c r="C8" s="13" t="str">
        <x:v>최하윤</x:v>
      </x:c>
      <x:c r="D8" s="13" t="str">
        <x:v>864120</x:v>
      </x:c>
      <x:c r="E8" s="13" t="str">
        <x:v>Y</x:v>
      </x:c>
      <x:c r="F8" s="19" t="n">
        <x:v>104</x:v>
      </x:c>
      <x:c r="G8" s="19" t="n">
        <x:f>SUMIFS('PointLogs'!$D$5:$D$504,'PointLogs'!$B$5:$B$504,A8)</x:f>
        <x:v>0</x:v>
      </x:c>
      <x:c r="H8" s="19" t="n">
        <x:f>F8+G8</x:f>
        <x:v>104</x:v>
      </x:c>
      <x:c r="I8" s="19" t="n">
        <x:f>RANK.EQ(H8,$H$5:$H$19,0)</x:f>
        <x:v>11</x:v>
      </x:c>
      <x:c r="J8" s="13" t="str">
        <x:f>IF(H8&gt;=180,"Lv.5",IF(H8&gt;=150,"Lv.4",IF(H8&gt;=100,"Lv.3",IF(H8&gt;=50,"Lv.2","Lv.1"))))</x:f>
        <x:v>Lv.3</x:v>
      </x:c>
      <x:c r="K8" s="13" t="str">
        <x:v>준비 요정</x:v>
      </x:c>
      <x:c r="L8" s="13" t="str">
        <x:v>girl</x:v>
      </x:c>
      <x:c r="M8" s="13" t="str">
        <x:v>basic</x:v>
      </x:c>
      <x:c r="N8" s="13" t="str"/>
    </x:row>
    <x:row r="9" ht="15" hidden="0" customHeight="1">
      <x:c r="A9" s="13" t="str">
        <x:v>S05</x:v>
      </x:c>
      <x:c r="B9" s="18" t="n">
        <x:v>5</x:v>
      </x:c>
      <x:c r="C9" s="13" t="str">
        <x:v>정도윤</x:v>
      </x:c>
      <x:c r="D9" s="13" t="str">
        <x:v>596312</x:v>
      </x:c>
      <x:c r="E9" s="13" t="str">
        <x:v>Y</x:v>
      </x:c>
      <x:c r="F9" s="19" t="n">
        <x:v>133</x:v>
      </x:c>
      <x:c r="G9" s="19" t="n">
        <x:f>SUMIFS('PointLogs'!$D$5:$D$504,'PointLogs'!$B$5:$B$504,A9)</x:f>
        <x:v>0</x:v>
      </x:c>
      <x:c r="H9" s="19" t="n">
        <x:f>F9+G9</x:f>
        <x:v>133</x:v>
      </x:c>
      <x:c r="I9" s="19" t="n">
        <x:f>RANK.EQ(H9,$H$5:$H$19,0)</x:f>
        <x:v>5</x:v>
      </x:c>
      <x:c r="J9" s="13" t="str">
        <x:f>IF(H9&gt;=180,"Lv.5",IF(H9&gt;=150,"Lv.4",IF(H9&gt;=100,"Lv.3",IF(H9&gt;=50,"Lv.2","Lv.1"))))</x:f>
        <x:v>Lv.3</x:v>
      </x:c>
      <x:c r="K9" s="13" t="str">
        <x:v>발표 스타</x:v>
      </x:c>
      <x:c r="L9" s="13" t="str">
        <x:v>boy</x:v>
      </x:c>
      <x:c r="M9" s="13" t="str">
        <x:v>basic</x:v>
      </x:c>
      <x:c r="N9" s="13" t="str"/>
    </x:row>
    <x:row r="10" ht="15" hidden="0" customHeight="1">
      <x:c r="A10" s="13" t="str">
        <x:v>S06</x:v>
      </x:c>
      <x:c r="B10" s="18" t="n">
        <x:v>6</x:v>
      </x:c>
      <x:c r="C10" s="13" t="str">
        <x:v>한아린</x:v>
      </x:c>
      <x:c r="D10" s="13" t="str">
        <x:v>248697</x:v>
      </x:c>
      <x:c r="E10" s="13" t="str">
        <x:v>Y</x:v>
      </x:c>
      <x:c r="F10" s="19" t="n">
        <x:v>151</x:v>
      </x:c>
      <x:c r="G10" s="19" t="n">
        <x:f>SUMIFS('PointLogs'!$D$5:$D$504,'PointLogs'!$B$5:$B$504,A10)</x:f>
        <x:v>0</x:v>
      </x:c>
      <x:c r="H10" s="19" t="n">
        <x:f>F10+G10</x:f>
        <x:v>151</x:v>
      </x:c>
      <x:c r="I10" s="19" t="n">
        <x:f>RANK.EQ(H10,$H$5:$H$19,0)</x:f>
        <x:v>1</x:v>
      </x:c>
      <x:c r="J10" s="13" t="str">
        <x:f>IF(H10&gt;=180,"Lv.5",IF(H10&gt;=150,"Lv.4",IF(H10&gt;=100,"Lv.3",IF(H10&gt;=50,"Lv.2","Lv.1"))))</x:f>
        <x:v>Lv.4</x:v>
      </x:c>
      <x:c r="K10" s="13" t="str">
        <x:v>배려 리더</x:v>
      </x:c>
      <x:c r="L10" s="13" t="str">
        <x:v>girl</x:v>
      </x:c>
      <x:c r="M10" s="13" t="str">
        <x:v>basic</x:v>
      </x:c>
      <x:c r="N10" s="13" t="str"/>
    </x:row>
    <x:row r="11" ht="15" hidden="0" customHeight="1">
      <x:c r="A11" s="13" t="str">
        <x:v>S07</x:v>
      </x:c>
      <x:c r="B11" s="18" t="n">
        <x:v>7</x:v>
      </x:c>
      <x:c r="C11" s="13" t="str">
        <x:v>오시우</x:v>
      </x:c>
      <x:c r="D11" s="13" t="str">
        <x:v>930475</x:v>
      </x:c>
      <x:c r="E11" s="13" t="str">
        <x:v>Y</x:v>
      </x:c>
      <x:c r="F11" s="19" t="n">
        <x:v>97</x:v>
      </x:c>
      <x:c r="G11" s="19" t="n">
        <x:f>SUMIFS('PointLogs'!$D$5:$D$504,'PointLogs'!$B$5:$B$504,A11)</x:f>
        <x:v>0</x:v>
      </x:c>
      <x:c r="H11" s="19" t="n">
        <x:f>F11+G11</x:f>
        <x:v>97</x:v>
      </x:c>
      <x:c r="I11" s="19" t="n">
        <x:f>RANK.EQ(H11,$H$5:$H$19,0)</x:f>
        <x:v>13</x:v>
      </x:c>
      <x:c r="J11" s="13" t="str">
        <x:f>IF(H11&gt;=180,"Lv.5",IF(H11&gt;=150,"Lv.4",IF(H11&gt;=100,"Lv.3",IF(H11&gt;=50,"Lv.2","Lv.1"))))</x:f>
        <x:v>Lv.2</x:v>
      </x:c>
      <x:c r="K11" s="13" t="str">
        <x:v>도전가</x:v>
      </x:c>
      <x:c r="L11" s="13" t="str">
        <x:v>boy</x:v>
      </x:c>
      <x:c r="M11" s="13" t="str">
        <x:v>basic</x:v>
      </x:c>
      <x:c r="N11" s="13" t="str"/>
    </x:row>
    <x:row r="12" ht="15" hidden="0" customHeight="1">
      <x:c r="A12" s="13" t="str">
        <x:v>S08</x:v>
      </x:c>
      <x:c r="B12" s="18" t="n">
        <x:v>8</x:v>
      </x:c>
      <x:c r="C12" s="13" t="str">
        <x:v>강유나</x:v>
      </x:c>
      <x:c r="D12" s="13" t="str">
        <x:v>681530</x:v>
      </x:c>
      <x:c r="E12" s="13" t="str">
        <x:v>Y</x:v>
      </x:c>
      <x:c r="F12" s="19" t="n">
        <x:v>121</x:v>
      </x:c>
      <x:c r="G12" s="19" t="n">
        <x:f>SUMIFS('PointLogs'!$D$5:$D$504,'PointLogs'!$B$5:$B$504,A12)</x:f>
        <x:v>0</x:v>
      </x:c>
      <x:c r="H12" s="19" t="n">
        <x:f>F12+G12</x:f>
        <x:v>121</x:v>
      </x:c>
      <x:c r="I12" s="19" t="n">
        <x:f>RANK.EQ(H12,$H$5:$H$19,0)</x:f>
        <x:v>8</x:v>
      </x:c>
      <x:c r="J12" s="13" t="str">
        <x:f>IF(H12&gt;=180,"Lv.5",IF(H12&gt;=150,"Lv.4",IF(H12&gt;=100,"Lv.3",IF(H12&gt;=50,"Lv.2","Lv.1"))))</x:f>
        <x:v>Lv.3</x:v>
      </x:c>
      <x:c r="K12" s="13" t="str">
        <x:v>기록왕</x:v>
      </x:c>
      <x:c r="L12" s="13" t="str">
        <x:v>girl</x:v>
      </x:c>
      <x:c r="M12" s="13" t="str">
        <x:v>basic</x:v>
      </x:c>
      <x:c r="N12" s="13" t="str"/>
    </x:row>
    <x:row r="13" ht="15" hidden="0" customHeight="1">
      <x:c r="A13" s="13" t="str">
        <x:v>S09</x:v>
      </x:c>
      <x:c r="B13" s="18" t="n">
        <x:v>9</x:v>
      </x:c>
      <x:c r="C13" s="13" t="str">
        <x:v>신도현</x:v>
      </x:c>
      <x:c r="D13" s="13" t="str">
        <x:v>407268</x:v>
      </x:c>
      <x:c r="E13" s="13" t="str">
        <x:v>Y</x:v>
      </x:c>
      <x:c r="F13" s="19" t="n">
        <x:v>88</x:v>
      </x:c>
      <x:c r="G13" s="19" t="n">
        <x:f>SUMIFS('PointLogs'!$D$5:$D$504,'PointLogs'!$B$5:$B$504,A13)</x:f>
        <x:v>0</x:v>
      </x:c>
      <x:c r="H13" s="19" t="n">
        <x:f>F13+G13</x:f>
        <x:v>88</x:v>
      </x:c>
      <x:c r="I13" s="19" t="n">
        <x:f>RANK.EQ(H13,$H$5:$H$19,0)</x:f>
        <x:v>15</x:v>
      </x:c>
      <x:c r="J13" s="13" t="str">
        <x:f>IF(H13&gt;=180,"Lv.5",IF(H13&gt;=150,"Lv.4",IF(H13&gt;=100,"Lv.3",IF(H13&gt;=50,"Lv.2","Lv.1"))))</x:f>
        <x:v>Lv.2</x:v>
      </x:c>
      <x:c r="K13" s="13" t="str">
        <x:v>성장 새싹</x:v>
      </x:c>
      <x:c r="L13" s="13" t="str">
        <x:v>boy</x:v>
      </x:c>
      <x:c r="M13" s="13" t="str">
        <x:v>basic</x:v>
      </x:c>
      <x:c r="N13" s="13" t="str"/>
    </x:row>
    <x:row r="14" ht="15" hidden="0" customHeight="1">
      <x:c r="A14" s="13" t="str">
        <x:v>S10</x:v>
      </x:c>
      <x:c r="B14" s="18" t="n">
        <x:v>10</x:v>
      </x:c>
      <x:c r="C14" s="13" t="str">
        <x:v>윤채원</x:v>
      </x:c>
      <x:c r="D14" s="13" t="str">
        <x:v>153924</x:v>
      </x:c>
      <x:c r="E14" s="13" t="str">
        <x:v>Y</x:v>
      </x:c>
      <x:c r="F14" s="19" t="n">
        <x:v>109</x:v>
      </x:c>
      <x:c r="G14" s="19" t="n">
        <x:f>SUMIFS('PointLogs'!$D$5:$D$504,'PointLogs'!$B$5:$B$504,A14)</x:f>
        <x:v>0</x:v>
      </x:c>
      <x:c r="H14" s="19" t="n">
        <x:f>F14+G14</x:f>
        <x:v>109</x:v>
      </x:c>
      <x:c r="I14" s="19" t="n">
        <x:f>RANK.EQ(H14,$H$5:$H$19,0)</x:f>
        <x:v>10</x:v>
      </x:c>
      <x:c r="J14" s="13" t="str">
        <x:f>IF(H14&gt;=180,"Lv.5",IF(H14&gt;=150,"Lv.4",IF(H14&gt;=100,"Lv.3",IF(H14&gt;=50,"Lv.2","Lv.1"))))</x:f>
        <x:v>Lv.3</x:v>
      </x:c>
      <x:c r="K14" s="13" t="str">
        <x:v>정리 달인</x:v>
      </x:c>
      <x:c r="L14" s="13" t="str">
        <x:v>girl</x:v>
      </x:c>
      <x:c r="M14" s="13" t="str">
        <x:v>basic</x:v>
      </x:c>
      <x:c r="N14" s="13" t="str"/>
    </x:row>
    <x:row r="15" ht="15" hidden="0" customHeight="1">
      <x:c r="A15" s="13" t="str">
        <x:v>S11</x:v>
      </x:c>
      <x:c r="B15" s="18" t="n">
        <x:v>11</x:v>
      </x:c>
      <x:c r="C15" s="13" t="str">
        <x:v>장현우</x:v>
      </x:c>
      <x:c r="D15" s="13" t="str">
        <x:v>826041</x:v>
      </x:c>
      <x:c r="E15" s="13" t="str">
        <x:v>Y</x:v>
      </x:c>
      <x:c r="F15" s="19" t="n">
        <x:v>136</x:v>
      </x:c>
      <x:c r="G15" s="19" t="n">
        <x:f>SUMIFS('PointLogs'!$D$5:$D$504,'PointLogs'!$B$5:$B$504,A15)</x:f>
        <x:v>0</x:v>
      </x:c>
      <x:c r="H15" s="19" t="n">
        <x:f>F15+G15</x:f>
        <x:v>136</x:v>
      </x:c>
      <x:c r="I15" s="19" t="n">
        <x:f>RANK.EQ(H15,$H$5:$H$19,0)</x:f>
        <x:v>4</x:v>
      </x:c>
      <x:c r="J15" s="13" t="str">
        <x:f>IF(H15&gt;=180,"Lv.5",IF(H15&gt;=150,"Lv.4",IF(H15&gt;=100,"Lv.3",IF(H15&gt;=50,"Lv.2","Lv.1"))))</x:f>
        <x:v>Lv.3</x:v>
      </x:c>
      <x:c r="K15" s="13" t="str">
        <x:v>토론가</x:v>
      </x:c>
      <x:c r="L15" s="13" t="str">
        <x:v>boy</x:v>
      </x:c>
      <x:c r="M15" s="13" t="str">
        <x:v>basic</x:v>
      </x:c>
      <x:c r="N15" s="13" t="str"/>
    </x:row>
    <x:row r="16" ht="15" hidden="0" customHeight="1">
      <x:c r="A16" s="13" t="str">
        <x:v>S12</x:v>
      </x:c>
      <x:c r="B16" s="18" t="n">
        <x:v>12</x:v>
      </x:c>
      <x:c r="C16" s="13" t="str">
        <x:v>임서아</x:v>
      </x:c>
      <x:c r="D16" s="13" t="str">
        <x:v>374805</x:v>
      </x:c>
      <x:c r="E16" s="13" t="str">
        <x:v>Y</x:v>
      </x:c>
      <x:c r="F16" s="19" t="n">
        <x:v>125</x:v>
      </x:c>
      <x:c r="G16" s="19" t="n">
        <x:f>SUMIFS('PointLogs'!$D$5:$D$504,'PointLogs'!$B$5:$B$504,A16)</x:f>
        <x:v>0</x:v>
      </x:c>
      <x:c r="H16" s="19" t="n">
        <x:f>F16+G16</x:f>
        <x:v>125</x:v>
      </x:c>
      <x:c r="I16" s="19" t="n">
        <x:f>RANK.EQ(H16,$H$5:$H$19,0)</x:f>
        <x:v>7</x:v>
      </x:c>
      <x:c r="J16" s="13" t="str">
        <x:f>IF(H16&gt;=180,"Lv.5",IF(H16&gt;=150,"Lv.4",IF(H16&gt;=100,"Lv.3",IF(H16&gt;=50,"Lv.2","Lv.1"))))</x:f>
        <x:v>Lv.3</x:v>
      </x:c>
      <x:c r="K16" s="13" t="str">
        <x:v>친절 메이커</x:v>
      </x:c>
      <x:c r="L16" s="13" t="str">
        <x:v>girl</x:v>
      </x:c>
      <x:c r="M16" s="13" t="str">
        <x:v>basic</x:v>
      </x:c>
      <x:c r="N16" s="13" t="str"/>
    </x:row>
    <x:row r="17" ht="15" hidden="0" customHeight="1">
      <x:c r="A17" s="13" t="str">
        <x:v>S13</x:v>
      </x:c>
      <x:c r="B17" s="18" t="n">
        <x:v>13</x:v>
      </x:c>
      <x:c r="C17" s="13" t="str">
        <x:v>조은우</x:v>
      </x:c>
      <x:c r="D17" s="13" t="str">
        <x:v>690137</x:v>
      </x:c>
      <x:c r="E17" s="13" t="str">
        <x:v>Y</x:v>
      </x:c>
      <x:c r="F17" s="19" t="n">
        <x:v>93</x:v>
      </x:c>
      <x:c r="G17" s="19" t="n">
        <x:f>SUMIFS('PointLogs'!$D$5:$D$504,'PointLogs'!$B$5:$B$504,A17)</x:f>
        <x:v>0</x:v>
      </x:c>
      <x:c r="H17" s="19" t="n">
        <x:f>F17+G17</x:f>
        <x:v>93</x:v>
      </x:c>
      <x:c r="I17" s="19" t="n">
        <x:f>RANK.EQ(H17,$H$5:$H$19,0)</x:f>
        <x:v>14</x:v>
      </x:c>
      <x:c r="J17" s="13" t="str">
        <x:f>IF(H17&gt;=180,"Lv.5",IF(H17&gt;=150,"Lv.4",IF(H17&gt;=100,"Lv.3",IF(H17&gt;=50,"Lv.2","Lv.1"))))</x:f>
        <x:v>Lv.2</x:v>
      </x:c>
      <x:c r="K17" s="13" t="str">
        <x:v>질문왕</x:v>
      </x:c>
      <x:c r="L17" s="13" t="str">
        <x:v>boy</x:v>
      </x:c>
      <x:c r="M17" s="13" t="str">
        <x:v>basic</x:v>
      </x:c>
      <x:c r="N17" s="13" t="str"/>
    </x:row>
    <x:row r="18" ht="15" hidden="0" customHeight="1">
      <x:c r="A18" s="13" t="str">
        <x:v>S14</x:v>
      </x:c>
      <x:c r="B18" s="18" t="n">
        <x:v>14</x:v>
      </x:c>
      <x:c r="C18" s="13" t="str">
        <x:v>문지아</x:v>
      </x:c>
      <x:c r="D18" s="13" t="str">
        <x:v>215986</x:v>
      </x:c>
      <x:c r="E18" s="13" t="str">
        <x:v>Y</x:v>
      </x:c>
      <x:c r="F18" s="19" t="n">
        <x:v>147</x:v>
      </x:c>
      <x:c r="G18" s="19" t="n">
        <x:f>SUMIFS('PointLogs'!$D$5:$D$504,'PointLogs'!$B$5:$B$504,A18)</x:f>
        <x:v>0</x:v>
      </x:c>
      <x:c r="H18" s="19" t="n">
        <x:f>F18+G18</x:f>
        <x:v>147</x:v>
      </x:c>
      <x:c r="I18" s="19" t="n">
        <x:f>RANK.EQ(H18,$H$5:$H$19,0)</x:f>
        <x:v>2</x:v>
      </x:c>
      <x:c r="J18" s="13" t="str">
        <x:f>IF(H18&gt;=180,"Lv.5",IF(H18&gt;=150,"Lv.4",IF(H18&gt;=100,"Lv.3",IF(H18&gt;=50,"Lv.2","Lv.1"))))</x:f>
        <x:v>Lv.3</x:v>
      </x:c>
      <x:c r="K18" s="13" t="str">
        <x:v>몰입 리더</x:v>
      </x:c>
      <x:c r="L18" s="13" t="str">
        <x:v>girl</x:v>
      </x:c>
      <x:c r="M18" s="13" t="str">
        <x:v>basic</x:v>
      </x:c>
      <x:c r="N18" s="13" t="str"/>
    </x:row>
    <x:row r="19" ht="15" hidden="0" customHeight="1">
      <x:c r="A19" s="13" t="str">
        <x:v>S15</x:v>
      </x:c>
      <x:c r="B19" s="18" t="n">
        <x:v>15</x:v>
      </x:c>
      <x:c r="C19" s="13" t="str">
        <x:v>백태오</x:v>
      </x:c>
      <x:c r="D19" s="13" t="str">
        <x:v>758420</x:v>
      </x:c>
      <x:c r="E19" s="13" t="str">
        <x:v>Y</x:v>
      </x:c>
      <x:c r="F19" s="19" t="n">
        <x:v>101</x:v>
      </x:c>
      <x:c r="G19" s="19" t="n">
        <x:f>SUMIFS('PointLogs'!$D$5:$D$504,'PointLogs'!$B$5:$B$504,A19)</x:f>
        <x:v>0</x:v>
      </x:c>
      <x:c r="H19" s="19" t="n">
        <x:f>F19+G19</x:f>
        <x:v>101</x:v>
      </x:c>
      <x:c r="I19" s="19" t="n">
        <x:f>RANK.EQ(H19,$H$5:$H$19,0)</x:f>
        <x:v>12</x:v>
      </x:c>
      <x:c r="J19" s="13" t="str">
        <x:f>IF(H19&gt;=180,"Lv.5",IF(H19&gt;=150,"Lv.4",IF(H19&gt;=100,"Lv.3",IF(H19&gt;=50,"Lv.2","Lv.1"))))</x:f>
        <x:v>Lv.3</x:v>
      </x:c>
      <x:c r="K19" s="13" t="str">
        <x:v>꾸준러</x:v>
      </x:c>
      <x:c r="L19" s="13" t="str">
        <x:v>boy</x:v>
      </x:c>
      <x:c r="M19" s="13" t="str">
        <x:v>basic</x:v>
      </x:c>
      <x:c r="N19" s="13" t="str"/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57.5" hidden="0" customWidth="1"/>
  </x:cols>
  <x:sheetData>
    <x:row r="1" ht="19.200000762939453" hidden="0" customHeight="1">
      <x:c r="A1" s="5" t="str">
        <x:v>앱 환경 설정</x:v>
      </x:c>
      <x:c r="B1" s="14"/>
      <x:c r="C1" s="6"/>
    </x:row>
    <x:row r="2" ht="15" hidden="0" customHeight="1">
      <x:c r="A2" s="7" t="str">
        <x:v>Apps Script에서 읽을 기본 설정값입니다. value만 수정해도 되도록 구성했습니다.</x:v>
      </x:c>
      <x:c r="B2" s="15"/>
      <x:c r="C2" s="8"/>
    </x:row>
    <x:row r="3"/>
    <x:row r="4" ht="15" hidden="0" customHeight="1">
      <x:c r="A4" s="10" t="str">
        <x:v>key</x:v>
      </x:c>
      <x:c r="B4" s="10" t="str">
        <x:v>value</x:v>
      </x:c>
      <x:c r="C4" s="10" t="str">
        <x:v>description</x:v>
      </x:c>
    </x:row>
    <x:row r="5" ht="15" hidden="0" customHeight="1">
      <x:c r="A5" s="13" t="str">
        <x:v>app_name</x:v>
      </x:c>
      <x:c r="B5" s="13" t="str">
        <x:v>우리반 HQ</x:v>
      </x:c>
      <x:c r="C5" s="13" t="str">
        <x:v>앱 이름</x:v>
      </x:c>
    </x:row>
    <x:row r="6" ht="15" hidden="0" customHeight="1">
      <x:c r="A6" s="13" t="str">
        <x:v>school_year</x:v>
      </x:c>
      <x:c r="B6" s="13" t="str">
        <x:v>2026</x:v>
      </x:c>
      <x:c r="C6" s="13" t="str">
        <x:v>학년도</x:v>
      </x:c>
    </x:row>
    <x:row r="7" ht="15" hidden="0" customHeight="1">
      <x:c r="A7" s="13" t="str">
        <x:v>semester</x:v>
      </x:c>
      <x:c r="B7" s="13" t="str">
        <x:v>2</x:v>
      </x:c>
      <x:c r="C7" s="13" t="str">
        <x:v>학기</x:v>
      </x:c>
    </x:row>
    <x:row r="8" ht="15" hidden="0" customHeight="1">
      <x:c r="A8" s="13" t="str">
        <x:v>class_name</x:v>
      </x:c>
      <x:c r="B8" s="13" t="str">
        <x:v>우리 반</x:v>
      </x:c>
      <x:c r="C8" s="13" t="str">
        <x:v>학급명</x:v>
      </x:c>
    </x:row>
    <x:row r="9" ht="15" hidden="0" customHeight="1">
      <x:c r="A9" s="13" t="str">
        <x:v>teacher_code</x:v>
      </x:c>
      <x:c r="B9" s="13" t="str">
        <x:v>1234</x:v>
      </x:c>
      <x:c r="C9" s="13" t="str">
        <x:v>교사 관리자 로그인 코드. 실제 운영 전 변경 권장</x:v>
      </x:c>
    </x:row>
    <x:row r="10" ht="15" hidden="0" customHeight="1">
      <x:c r="A10" s="13" t="str">
        <x:v>default_student_password_policy</x:v>
      </x:c>
      <x:c r="B10" s="13" t="str">
        <x:v>teacher_generated_6_digit</x:v>
      </x:c>
      <x:c r="C10" s="13" t="str">
        <x:v>학생 비밀번호 생성 방식 메모</x:v>
      </x:c>
    </x:row>
    <x:row r="11" ht="15" hidden="0" customHeight="1">
      <x:c r="A11" s="13" t="str">
        <x:v>timezone</x:v>
      </x:c>
      <x:c r="B11" s="13" t="str">
        <x:v>Asia/Seoul</x:v>
      </x:c>
      <x:c r="C11" s="13" t="str">
        <x:v>날짜/시간 처리 기준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6.25" hidden="0" customWidth="1"/>
    <x:col min="4" max="4" width="28.75" hidden="0" customWidth="1"/>
    <x:col min="5" max="5" width="52.5" hidden="0" customWidth="1"/>
    <x:col min="6" max="6" width="18.75" hidden="0" customWidth="1"/>
    <x:col min="7" max="7" width="18.75" hidden="0" customWidth="1"/>
    <x:col min="8" max="8" width="11.25" hidden="0" customWidth="1"/>
    <x:col min="9" max="9" width="13.75" hidden="0" customWidth="1"/>
  </x:cols>
  <x:sheetData>
    <x:row r="1" ht="19.200000762939453" hidden="0" customHeight="1">
      <x:c r="A1" s="5" t="str">
        <x:v>공지</x:v>
      </x:c>
      <x:c r="B1" s="14"/>
      <x:c r="C1" s="14"/>
      <x:c r="D1" s="14"/>
      <x:c r="E1" s="14"/>
      <x:c r="F1" s="14"/>
      <x:c r="G1" s="14"/>
      <x:c r="H1" s="14"/>
      <x:c r="I1" s="6"/>
    </x:row>
    <x:row r="2" ht="15" hidden="0" customHeight="1">
      <x:c r="A2" s="7" t="str">
        <x:v>학교 전체, 우리 학급, 학생 개인 공지를 저장합니다.</x:v>
      </x:c>
      <x:c r="B2" s="15"/>
      <x:c r="C2" s="15"/>
      <x:c r="D2" s="15"/>
      <x:c r="E2" s="15"/>
      <x:c r="F2" s="15"/>
      <x:c r="G2" s="15"/>
      <x:c r="H2" s="15"/>
      <x:c r="I2" s="8"/>
    </x:row>
    <x:row r="3"/>
    <x:row r="4" ht="15" hidden="0" customHeight="1">
      <x:c r="A4" s="10" t="str">
        <x:v>notice_id</x:v>
      </x:c>
      <x:c r="B4" s="10" t="str">
        <x:v>scope</x:v>
      </x:c>
      <x:c r="C4" s="10" t="str">
        <x:v>target_student_id</x:v>
      </x:c>
      <x:c r="D4" s="10" t="str">
        <x:v>title</x:v>
      </x:c>
      <x:c r="E4" s="10" t="str">
        <x:v>body</x:v>
      </x:c>
      <x:c r="F4" s="10" t="str">
        <x:v>publish_at</x:v>
      </x:c>
      <x:c r="G4" s="10" t="str">
        <x:v>expires_at</x:v>
      </x:c>
      <x:c r="H4" s="10" t="str">
        <x:v>is_active</x:v>
      </x:c>
      <x:c r="I4" s="10" t="str">
        <x:v>created_by</x:v>
      </x:c>
    </x:row>
    <x:row r="5" ht="15" hidden="0" customHeight="1">
      <x:c r="A5" s="13" t="str">
        <x:v>N001</x:v>
      </x:c>
      <x:c r="B5" s="13" t="str">
        <x:v>school</x:v>
      </x:c>
      <x:c r="C5" s="13" t="str"/>
      <x:c r="D5" s="13" t="str">
        <x:v>체육관 공사 구역 통행 안내</x:v>
      </x:c>
      <x:c r="E5" s="13" t="str">
        <x:v>이번 주는 체육관 뒤편 통로를 이용하지 않습니다.</x:v>
      </x:c>
      <x:c r="F5" s="20" t="str">
        <x:v>2026-08-24 08:10</x:v>
      </x:c>
      <x:c r="G5" s="20" t="str"/>
      <x:c r="H5" s="13" t="str">
        <x:v>Y</x:v>
      </x:c>
      <x:c r="I5" s="13" t="str">
        <x:v>teacher</x:v>
      </x:c>
    </x:row>
    <x:row r="6" ht="15" hidden="0" customHeight="1">
      <x:c r="A6" s="13" t="str">
        <x:v>N002</x:v>
      </x:c>
      <x:c r="B6" s="13" t="str">
        <x:v>class</x:v>
      </x:c>
      <x:c r="C6" s="13" t="str"/>
      <x:c r="D6" s="13" t="str">
        <x:v>금요일 학급 활동 준비</x:v>
      </x:c>
      <x:c r="E6" s="13" t="str">
        <x:v>모둠별로 활동 아이디어를 하나씩 정해 와요.</x:v>
      </x:c>
      <x:c r="F6" s="20" t="str">
        <x:v>2026-08-24 09:20</x:v>
      </x:c>
      <x:c r="G6" s="20" t="str"/>
      <x:c r="H6" s="13" t="str">
        <x:v>Y</x:v>
      </x:c>
      <x:c r="I6" s="13" t="str">
        <x:v>teacher</x:v>
      </x:c>
    </x:row>
    <x:row r="7" ht="15" hidden="0" customHeight="1">
      <x:c r="A7" s="13" t="str">
        <x:v>N003</x:v>
      </x:c>
      <x:c r="B7" s="13" t="str">
        <x:v>private</x:v>
      </x:c>
      <x:c r="C7" s="13" t="str">
        <x:v>S01</x:v>
      </x:c>
      <x:c r="D7" s="13" t="str">
        <x:v>민준님 개인 알림</x:v>
      </x:c>
      <x:c r="E7" s="13" t="str">
        <x:v>어제 제출한 글쓰기 노트 피드백을 확인해 주세요.</x:v>
      </x:c>
      <x:c r="F7" s="20" t="str">
        <x:v>2026-08-23 16:40</x:v>
      </x:c>
      <x:c r="G7" s="20" t="str"/>
      <x:c r="H7" s="13" t="str">
        <x:v>Y</x:v>
      </x:c>
      <x:c r="I7" s="13" t="str">
        <x:v>teacher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2.5" hidden="0" customWidth="1"/>
    <x:col min="3" max="3" width="32.5" hidden="0" customWidth="1"/>
    <x:col min="4" max="4" width="13.75" hidden="0" customWidth="1"/>
    <x:col min="5" max="5" width="13.75" hidden="0" customWidth="1"/>
    <x:col min="6" max="6" width="20" hidden="0" customWidth="1"/>
    <x:col min="7" max="7" width="13.75" hidden="0" customWidth="1"/>
    <x:col min="8" max="8" width="30" hidden="0" customWidth="1"/>
  </x:cols>
  <x:sheetData>
    <x:row r="1" ht="19.200000762939453" hidden="0" customHeight="1">
      <x:c r="A1" s="5" t="str">
        <x:v>포인트 기록</x:v>
      </x:c>
      <x:c r="B1" s="14"/>
      <x:c r="C1" s="14"/>
      <x:c r="D1" s="14"/>
      <x:c r="E1" s="14"/>
      <x:c r="F1" s="14"/>
      <x:c r="G1" s="14"/>
      <x:c r="H1" s="6"/>
    </x:row>
    <x:row r="2" ht="15" hidden="0" customHeight="1">
      <x:c r="A2" s="7" t="str">
        <x:v>포인트를 더하거나 뺄 때 한 줄씩 남기는 원장 탭입니다.</x:v>
      </x:c>
      <x:c r="B2" s="15"/>
      <x:c r="C2" s="15"/>
      <x:c r="D2" s="15"/>
      <x:c r="E2" s="15"/>
      <x:c r="F2" s="15"/>
      <x:c r="G2" s="15"/>
      <x:c r="H2" s="8"/>
    </x:row>
    <x:row r="3"/>
    <x:row r="4" ht="15" hidden="0" customHeight="1">
      <x:c r="A4" s="10" t="str">
        <x:v>log_id</x:v>
      </x:c>
      <x:c r="B4" s="10" t="str">
        <x:v>student_id</x:v>
      </x:c>
      <x:c r="C4" s="10" t="str">
        <x:v>reason</x:v>
      </x:c>
      <x:c r="D4" s="10" t="str">
        <x:v>points_delta</x:v>
      </x:c>
      <x:c r="E4" s="10" t="str">
        <x:v>source</x:v>
      </x:c>
      <x:c r="F4" s="10" t="str">
        <x:v>created_at</x:v>
      </x:c>
      <x:c r="G4" s="10" t="str">
        <x:v>created_by</x:v>
      </x:c>
      <x:c r="H4" s="10" t="str">
        <x:v>memo</x:v>
      </x:c>
    </x:row>
    <x:row r="5" ht="15" hidden="0" customHeight="1">
      <x:c r="A5" s="13" t="str">
        <x:v>P001</x:v>
      </x:c>
      <x:c r="B5" s="13" t="str">
        <x:v>S01</x:v>
      </x:c>
      <x:c r="C5" s="13" t="str">
        <x:v>모둠 활동에서 친구 돕기</x:v>
      </x:c>
      <x:c r="D5" s="19" t="n">
        <x:v>3</x:v>
      </x:c>
      <x:c r="E5" s="13" t="str">
        <x:v>teacher</x:v>
      </x:c>
      <x:c r="F5" s="20" t="str">
        <x:v>2026-08-24 10:10</x:v>
      </x:c>
      <x:c r="G5" s="13" t="str">
        <x:v>teacher</x:v>
      </x:c>
      <x:c r="H5" s="13" t="str"/>
    </x:row>
    <x:row r="6" ht="15" hidden="0" customHeight="1">
      <x:c r="A6" s="13" t="str">
        <x:v>P002</x:v>
      </x:c>
      <x:c r="B6" s="13" t="str">
        <x:v>S01</x:v>
      </x:c>
      <x:c r="C6" s="13" t="str">
        <x:v>아침 독서 집중</x:v>
      </x:c>
      <x:c r="D6" s="19" t="n">
        <x:v>2</x:v>
      </x:c>
      <x:c r="E6" s="13" t="str">
        <x:v>teacher</x:v>
      </x:c>
      <x:c r="F6" s="20" t="str">
        <x:v>2026-08-23 08:50</x:v>
      </x:c>
      <x:c r="G6" s="13" t="str">
        <x:v>teacher</x:v>
      </x:c>
      <x:c r="H6" s="13" t="str"/>
    </x:row>
    <x:row r="7" ht="15" hidden="0" customHeight="1">
      <x:c r="A7" s="13" t="str">
        <x:v>P003</x:v>
      </x:c>
      <x:c r="B7" s="13" t="str">
        <x:v>S02</x:v>
      </x:c>
      <x:c r="C7" s="13" t="str">
        <x:v>토론 정리 발표</x:v>
      </x:c>
      <x:c r="D7" s="19" t="n">
        <x:v>4</x:v>
      </x:c>
      <x:c r="E7" s="13" t="str">
        <x:v>teacher</x:v>
      </x:c>
      <x:c r="F7" s="20" t="str">
        <x:v>2026-08-24 11:20</x:v>
      </x:c>
      <x:c r="G7" s="13" t="str">
        <x:v>teacher</x:v>
      </x:c>
      <x:c r="H7" s="13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2.5" hidden="0" customWidth="1"/>
    <x:col min="3" max="3" width="32.5" hidden="0" customWidth="1"/>
    <x:col min="4" max="4" width="15" hidden="0" customWidth="1"/>
    <x:col min="5" max="5" width="11.25" hidden="0" customWidth="1"/>
    <x:col min="6" max="6" width="32.5" hidden="0" customWidth="1"/>
  </x:cols>
  <x:sheetData>
    <x:row r="1" ht="19.200000762939453" hidden="0" customHeight="1">
      <x:c r="A1" s="5" t="str">
        <x:v>포인트 부여 기준</x:v>
      </x:c>
      <x:c r="B1" s="14"/>
      <x:c r="C1" s="14"/>
      <x:c r="D1" s="14"/>
      <x:c r="E1" s="14"/>
      <x:c r="F1" s="6"/>
    </x:row>
    <x:row r="2" ht="15" hidden="0" customHeight="1">
      <x:c r="A2" s="7" t="str">
        <x:v>교사가 자주 쓰는 포인트 사유와 기본 점수를 관리합니다.</x:v>
      </x:c>
      <x:c r="B2" s="15"/>
      <x:c r="C2" s="15"/>
      <x:c r="D2" s="15"/>
      <x:c r="E2" s="15"/>
      <x:c r="F2" s="8"/>
    </x:row>
    <x:row r="3"/>
    <x:row r="4" ht="15" hidden="0" customHeight="1">
      <x:c r="A4" s="10" t="str">
        <x:v>rule_id</x:v>
      </x:c>
      <x:c r="B4" s="10" t="str">
        <x:v>category</x:v>
      </x:c>
      <x:c r="C4" s="10" t="str">
        <x:v>reason</x:v>
      </x:c>
      <x:c r="D4" s="10" t="str">
        <x:v>default_points</x:v>
      </x:c>
      <x:c r="E4" s="10" t="str">
        <x:v>active</x:v>
      </x:c>
      <x:c r="F4" s="10" t="str">
        <x:v>memo</x:v>
      </x:c>
    </x:row>
    <x:row r="5" ht="15" hidden="0" customHeight="1">
      <x:c r="A5" s="13" t="str">
        <x:v>R001</x:v>
      </x:c>
      <x:c r="B5" s="13" t="str">
        <x:v>협력</x:v>
      </x:c>
      <x:c r="C5" s="13" t="str">
        <x:v>친구 돕기</x:v>
      </x:c>
      <x:c r="D5" s="13" t="n">
        <x:v>3</x:v>
      </x:c>
      <x:c r="E5" s="13" t="str">
        <x:v>Y</x:v>
      </x:c>
      <x:c r="F5" s="13" t="str"/>
    </x:row>
    <x:row r="6" ht="15" hidden="0" customHeight="1">
      <x:c r="A6" s="13" t="str">
        <x:v>R002</x:v>
      </x:c>
      <x:c r="B6" s="13" t="str">
        <x:v>학습</x:v>
      </x:c>
      <x:c r="C6" s="13" t="str">
        <x:v>아침 독서 집중</x:v>
      </x:c>
      <x:c r="D6" s="13" t="n">
        <x:v>2</x:v>
      </x:c>
      <x:c r="E6" s="13" t="str">
        <x:v>Y</x:v>
      </x:c>
      <x:c r="F6" s="13" t="str"/>
    </x:row>
    <x:row r="7" ht="15" hidden="0" customHeight="1">
      <x:c r="A7" s="13" t="str">
        <x:v>R003</x:v>
      </x:c>
      <x:c r="B7" s="13" t="str">
        <x:v>생활</x:v>
      </x:c>
      <x:c r="C7" s="13" t="str">
        <x:v>학급 약속 지키기</x:v>
      </x:c>
      <x:c r="D7" s="13" t="n">
        <x:v>4</x:v>
      </x:c>
      <x:c r="E7" s="13" t="str">
        <x:v>Y</x:v>
      </x:c>
      <x:c r="F7" s="13" t="str"/>
    </x:row>
    <x:row r="8" ht="15" hidden="0" customHeight="1">
      <x:c r="A8" s="13" t="str">
        <x:v>R004</x:v>
      </x:c>
      <x:c r="B8" s="13" t="str">
        <x:v>참여</x:v>
      </x:c>
      <x:c r="C8" s="13" t="str">
        <x:v>발표 후 질문하기</x:v>
      </x:c>
      <x:c r="D8" s="13" t="n">
        <x:v>3</x:v>
      </x:c>
      <x:c r="E8" s="13" t="str">
        <x:v>Y</x:v>
      </x:c>
      <x:c r="F8" s="13" t="str"/>
    </x:row>
    <x:row r="9" ht="15" hidden="0" customHeight="1">
      <x:c r="A9" s="13" t="str">
        <x:v>R005</x:v>
      </x:c>
      <x:c r="B9" s="13" t="str">
        <x:v>정리</x:v>
      </x:c>
      <x:c r="C9" s="13" t="str">
        <x:v>정리 시간 협력</x:v>
      </x:c>
      <x:c r="D9" s="13" t="n">
        <x:v>2</x:v>
      </x:c>
      <x:c r="E9" s="13" t="str">
        <x:v>Y</x:v>
      </x:c>
      <x:c r="F9" s="13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45" hidden="0" customWidth="1"/>
    <x:col min="4" max="4" width="12.5" hidden="0" customWidth="1"/>
    <x:col min="5" max="5" width="18.75" hidden="0" customWidth="1"/>
    <x:col min="6" max="6" width="18.75" hidden="0" customWidth="1"/>
    <x:col min="7" max="7" width="12.5" hidden="0" customWidth="1"/>
    <x:col min="8" max="8" width="13.75" hidden="0" customWidth="1"/>
    <x:col min="9" max="9" width="18.75" hidden="0" customWidth="1"/>
  </x:cols>
  <x:sheetData>
    <x:row r="1" ht="19.200000762939453" hidden="0" customHeight="1">
      <x:c r="A1" s="5" t="str">
        <x:v>설문/투표</x:v>
      </x:c>
      <x:c r="B1" s="14"/>
      <x:c r="C1" s="14"/>
      <x:c r="D1" s="14"/>
      <x:c r="E1" s="14"/>
      <x:c r="F1" s="14"/>
      <x:c r="G1" s="14"/>
      <x:c r="H1" s="14"/>
      <x:c r="I1" s="6"/>
    </x:row>
    <x:row r="2" ht="15" hidden="0" customHeight="1">
      <x:c r="A2" s="7" t="str">
        <x:v>선택형 투표와 주관식 설문을 같은 탭에서 관리합니다.</x:v>
      </x:c>
      <x:c r="B2" s="15"/>
      <x:c r="C2" s="15"/>
      <x:c r="D2" s="15"/>
      <x:c r="E2" s="15"/>
      <x:c r="F2" s="15"/>
      <x:c r="G2" s="15"/>
      <x:c r="H2" s="15"/>
      <x:c r="I2" s="8"/>
    </x:row>
    <x:row r="3"/>
    <x:row r="4" ht="15" hidden="0" customHeight="1">
      <x:c r="A4" s="10" t="str">
        <x:v>survey_id</x:v>
      </x:c>
      <x:c r="B4" s="10" t="str">
        <x:v>type</x:v>
      </x:c>
      <x:c r="C4" s="10" t="str">
        <x:v>question</x:v>
      </x:c>
      <x:c r="D4" s="10" t="str">
        <x:v>status</x:v>
      </x:c>
      <x:c r="E4" s="10" t="str">
        <x:v>opens_at</x:v>
      </x:c>
      <x:c r="F4" s="10" t="str">
        <x:v>closes_at</x:v>
      </x:c>
      <x:c r="G4" s="10" t="str">
        <x:v>allow_edit</x:v>
      </x:c>
      <x:c r="H4" s="10" t="str">
        <x:v>created_by</x:v>
      </x:c>
      <x:c r="I4" s="10" t="str">
        <x:v>created_at</x:v>
      </x:c>
    </x:row>
    <x:row r="5" ht="15" hidden="0" customHeight="1">
      <x:c r="A5" s="13" t="str">
        <x:v>SV001</x:v>
      </x:c>
      <x:c r="B5" s="13" t="str">
        <x:v>choice</x:v>
      </x:c>
      <x:c r="C5" s="13" t="str">
        <x:v>이번 금요일 학급 활동</x:v>
      </x:c>
      <x:c r="D5" s="13" t="str">
        <x:v>open</x:v>
      </x:c>
      <x:c r="E5" s="20" t="str">
        <x:v>2026-08-24 09:00</x:v>
      </x:c>
      <x:c r="F5" s="20" t="str">
        <x:v>2026-08-25 15:00</x:v>
      </x:c>
      <x:c r="G5" s="13" t="str">
        <x:v>Y</x:v>
      </x:c>
      <x:c r="H5" s="13" t="str">
        <x:v>teacher</x:v>
      </x:c>
      <x:c r="I5" s="13" t="str">
        <x:v>2026-08-24 09:00</x:v>
      </x:c>
    </x:row>
    <x:row r="6" ht="15" hidden="0" customHeight="1">
      <x:c r="A6" s="13" t="str">
        <x:v>SV002</x:v>
      </x:c>
      <x:c r="B6" s="13" t="str">
        <x:v>text</x:v>
      </x:c>
      <x:c r="C6" s="13" t="str">
        <x:v>우리 반 앱에 추가되면 좋을 기능</x:v>
      </x:c>
      <x:c r="D6" s="13" t="str">
        <x:v>open</x:v>
      </x:c>
      <x:c r="E6" s="20" t="str">
        <x:v>2026-08-24 09:00</x:v>
      </x:c>
      <x:c r="F6" s="20" t="str">
        <x:v>2026-08-29 15:00</x:v>
      </x:c>
      <x:c r="G6" s="13" t="str">
        <x:v>Y</x:v>
      </x:c>
      <x:c r="H6" s="13" t="str">
        <x:v>teacher</x:v>
      </x:c>
      <x:c r="I6" s="13" t="str">
        <x:v>2026-08-24 09:00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2.5" hidden="0" customWidth="1"/>
    <x:col min="4" max="4" width="35" hidden="0" customWidth="1"/>
    <x:col min="5" max="5" width="11.25" hidden="0" customWidth="1"/>
  </x:cols>
  <x:sheetData>
    <x:row r="1" ht="19.200000762939453" hidden="0" customHeight="1">
      <x:c r="A1" s="5" t="str">
        <x:v>선택형 투표 선택지</x:v>
      </x:c>
      <x:c r="B1" s="14"/>
      <x:c r="C1" s="14"/>
      <x:c r="D1" s="14"/>
      <x:c r="E1" s="6"/>
    </x:row>
    <x:row r="2" ht="15" hidden="0" customHeight="1">
      <x:c r="A2" s="7" t="str">
        <x:v>Surveys.type이 choice인 설문의 선택지를 저장합니다.</x:v>
      </x:c>
      <x:c r="B2" s="15"/>
      <x:c r="C2" s="15"/>
      <x:c r="D2" s="15"/>
      <x:c r="E2" s="8"/>
    </x:row>
    <x:row r="3"/>
    <x:row r="4" ht="15" hidden="0" customHeight="1">
      <x:c r="A4" s="10" t="str">
        <x:v>option_id</x:v>
      </x:c>
      <x:c r="B4" s="10" t="str">
        <x:v>survey_id</x:v>
      </x:c>
      <x:c r="C4" s="10" t="str">
        <x:v>option_order</x:v>
      </x:c>
      <x:c r="D4" s="10" t="str">
        <x:v>option_text</x:v>
      </x:c>
      <x:c r="E4" s="10" t="str">
        <x:v>active</x:v>
      </x:c>
    </x:row>
    <x:row r="5" ht="15" hidden="0" customHeight="1">
      <x:c r="A5" s="13" t="str">
        <x:v>O001</x:v>
      </x:c>
      <x:c r="B5" s="13" t="str">
        <x:v>SV001</x:v>
      </x:c>
      <x:c r="C5" s="13" t="n">
        <x:v>1</x:v>
      </x:c>
      <x:c r="D5" s="13" t="str">
        <x:v>보드게임 리그</x:v>
      </x:c>
      <x:c r="E5" s="13" t="str">
        <x:v>Y</x:v>
      </x:c>
    </x:row>
    <x:row r="6" ht="15" hidden="0" customHeight="1">
      <x:c r="A6" s="13" t="str">
        <x:v>O002</x:v>
      </x:c>
      <x:c r="B6" s="13" t="str">
        <x:v>SV001</x:v>
      </x:c>
      <x:c r="C6" s="13" t="n">
        <x:v>2</x:v>
      </x:c>
      <x:c r="D6" s="13" t="str">
        <x:v>학급 영화 토론</x:v>
      </x:c>
      <x:c r="E6" s="13" t="str">
        <x:v>Y</x:v>
      </x:c>
    </x:row>
    <x:row r="7" ht="15" hidden="0" customHeight="1">
      <x:c r="A7" s="13" t="str">
        <x:v>O003</x:v>
      </x:c>
      <x:c r="B7" s="13" t="str">
        <x:v>SV001</x:v>
      </x:c>
      <x:c r="C7" s="13" t="n">
        <x:v>3</x:v>
      </x:c>
      <x:c r="D7" s="13" t="str">
        <x:v>운동장 팀 챌린지</x:v>
      </x:c>
      <x:c r="E7" s="13" t="str">
        <x:v>Y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1.25" hidden="0" customWidth="1"/>
    <x:col min="3" max="3" width="12.5" hidden="0" customWidth="1"/>
    <x:col min="4" max="4" width="11.25" hidden="0" customWidth="1"/>
    <x:col min="5" max="5" width="52.5" hidden="0" customWidth="1"/>
    <x:col min="6" max="6" width="20" hidden="0" customWidth="1"/>
    <x:col min="7" max="7" width="20" hidden="0" customWidth="1"/>
  </x:cols>
  <x:sheetData>
    <x:row r="1" ht="19.200000762939453" hidden="0" customHeight="1">
      <x:c r="A1" s="5" t="str">
        <x:v>설문 응답</x:v>
      </x:c>
      <x:c r="B1" s="14"/>
      <x:c r="C1" s="14"/>
      <x:c r="D1" s="14"/>
      <x:c r="E1" s="14"/>
      <x:c r="F1" s="14"/>
      <x:c r="G1" s="6"/>
    </x:row>
    <x:row r="2" ht="15" hidden="0" customHeight="1">
      <x:c r="A2" s="7" t="str">
        <x:v>학생 응답이 쌓이는 탭입니다. 선택형은 option_id, 주관식은 text_response를 사용합니다.</x:v>
      </x:c>
      <x:c r="B2" s="15"/>
      <x:c r="C2" s="15"/>
      <x:c r="D2" s="15"/>
      <x:c r="E2" s="15"/>
      <x:c r="F2" s="15"/>
      <x:c r="G2" s="8"/>
    </x:row>
    <x:row r="3"/>
    <x:row r="4" ht="15" hidden="0" customHeight="1">
      <x:c r="A4" s="10" t="str">
        <x:v>response_id</x:v>
      </x:c>
      <x:c r="B4" s="10" t="str">
        <x:v>survey_id</x:v>
      </x:c>
      <x:c r="C4" s="10" t="str">
        <x:v>student_id</x:v>
      </x:c>
      <x:c r="D4" s="10" t="str">
        <x:v>option_id</x:v>
      </x:c>
      <x:c r="E4" s="10" t="str">
        <x:v>text_response</x:v>
      </x:c>
      <x:c r="F4" s="10" t="str">
        <x:v>submitted_at</x:v>
      </x:c>
      <x:c r="G4" s="10" t="str">
        <x:v>updated_at</x:v>
      </x:c>
    </x:row>
    <x:row r="5" ht="15" hidden="0" customHeight="1">
      <x:c r="A5" s="13" t="str">
        <x:v>A001</x:v>
      </x:c>
      <x:c r="B5" s="13" t="str">
        <x:v>SV001</x:v>
      </x:c>
      <x:c r="C5" s="13" t="str">
        <x:v>S02</x:v>
      </x:c>
      <x:c r="D5" s="13" t="str">
        <x:v>O001</x:v>
      </x:c>
      <x:c r="E5" s="13" t="str"/>
      <x:c r="F5" s="20" t="str">
        <x:v>2026-08-24 10:00</x:v>
      </x:c>
      <x:c r="G5" s="20" t="str">
        <x:v>2026-08-24 10:00</x:v>
      </x:c>
    </x:row>
    <x:row r="6" ht="15" hidden="0" customHeight="1">
      <x:c r="A6" s="13" t="str">
        <x:v>A002</x:v>
      </x:c>
      <x:c r="B6" s="13" t="str">
        <x:v>SV002</x:v>
      </x:c>
      <x:c r="C6" s="13" t="str">
        <x:v>S02</x:v>
      </x:c>
      <x:c r="D6" s="13" t="str"/>
      <x:c r="E6" s="13" t="str">
        <x:v>급식 메뉴를 같이 볼 수 있으면 좋겠어요.</x:v>
      </x:c>
      <x:c r="F6" s="20" t="str">
        <x:v>2026-08-24 10:05</x:v>
      </x:c>
      <x:c r="G6" s="20" t="str">
        <x:v>2026-08-24 10:05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.5" hidden="0" customWidth="1"/>
    <x:col min="3" max="3" width="21.25" hidden="0" customWidth="1"/>
    <x:col min="4" max="4" width="15" hidden="0" customWidth="1"/>
    <x:col min="5" max="5" width="32.5" hidden="0" customWidth="1"/>
    <x:col min="6" max="6" width="32.5" hidden="0" customWidth="1"/>
    <x:col min="7" max="7" width="11.25" hidden="0" customWidth="1"/>
  </x:cols>
  <x:sheetData>
    <x:row r="1" ht="19.200000762939453" hidden="0" customHeight="1">
      <x:c r="A1" s="5" t="str">
        <x:v>아바타 아이템</x:v>
      </x:c>
      <x:c r="B1" s="14"/>
      <x:c r="C1" s="14"/>
      <x:c r="D1" s="14"/>
      <x:c r="E1" s="14"/>
      <x:c r="F1" s="14"/>
      <x:c r="G1" s="6"/>
    </x:row>
    <x:row r="2" ht="15" hidden="0" customHeight="1">
      <x:c r="A2" s="7" t="str">
        <x:v>아바타 기본형과 옷 아이템, 해금 포인트를 관리합니다.</x:v>
      </x:c>
      <x:c r="B2" s="15"/>
      <x:c r="C2" s="15"/>
      <x:c r="D2" s="15"/>
      <x:c r="E2" s="15"/>
      <x:c r="F2" s="15"/>
      <x:c r="G2" s="8"/>
    </x:row>
    <x:row r="3"/>
    <x:row r="4" ht="15" hidden="0" customHeight="1">
      <x:c r="A4" s="10" t="str">
        <x:v>item_id</x:v>
      </x:c>
      <x:c r="B4" s="10" t="str">
        <x:v>category</x:v>
      </x:c>
      <x:c r="C4" s="10" t="str">
        <x:v>name</x:v>
      </x:c>
      <x:c r="D4" s="10" t="str">
        <x:v>unlock_points</x:v>
      </x:c>
      <x:c r="E4" s="10" t="str">
        <x:v>asset_key</x:v>
      </x:c>
      <x:c r="F4" s="10" t="str">
        <x:v>description</x:v>
      </x:c>
      <x:c r="G4" s="10" t="str">
        <x:v>active</x:v>
      </x:c>
    </x:row>
    <x:row r="5" ht="15" hidden="0" customHeight="1">
      <x:c r="A5" s="13" t="str">
        <x:v>boy</x:v>
      </x:c>
      <x:c r="B5" s="13" t="str">
        <x:v>base</x:v>
      </x:c>
      <x:c r="C5" s="13" t="str">
        <x:v>남학생 기본</x:v>
      </x:c>
      <x:c r="D5" s="13" t="n">
        <x:v>0</x:v>
      </x:c>
      <x:c r="E5" s="13" t="str">
        <x:v>base-boy</x:v>
      </x:c>
      <x:c r="F5" s="13" t="str">
        <x:v>처음부터 선택 가능</x:v>
      </x:c>
      <x:c r="G5" s="13" t="str">
        <x:v>Y</x:v>
      </x:c>
    </x:row>
    <x:row r="6" ht="15" hidden="0" customHeight="1">
      <x:c r="A6" s="13" t="str">
        <x:v>girl</x:v>
      </x:c>
      <x:c r="B6" s="13" t="str">
        <x:v>base</x:v>
      </x:c>
      <x:c r="C6" s="13" t="str">
        <x:v>여학생 기본</x:v>
      </x:c>
      <x:c r="D6" s="13" t="n">
        <x:v>0</x:v>
      </x:c>
      <x:c r="E6" s="13" t="str">
        <x:v>base-girl</x:v>
      </x:c>
      <x:c r="F6" s="13" t="str">
        <x:v>처음부터 선택 가능</x:v>
      </x:c>
      <x:c r="G6" s="13" t="str">
        <x:v>Y</x:v>
      </x:c>
    </x:row>
    <x:row r="7" ht="15" hidden="0" customHeight="1">
      <x:c r="A7" s="13" t="str">
        <x:v>basic</x:v>
      </x:c>
      <x:c r="B7" s="13" t="str">
        <x:v>clothing</x:v>
      </x:c>
      <x:c r="C7" s="13" t="str">
        <x:v>기본</x:v>
      </x:c>
      <x:c r="D7" s="13" t="n">
        <x:v>0</x:v>
      </x:c>
      <x:c r="E7" s="13" t="str"/>
      <x:c r="F7" s="13" t="str">
        <x:v>기본 아바타 이미지 사용</x:v>
      </x:c>
      <x:c r="G7" s="13" t="str">
        <x:v>Y</x:v>
      </x:c>
    </x:row>
    <x:row r="8" ht="15" hidden="0" customHeight="1">
      <x:c r="A8" s="13" t="str">
        <x:v>summer-shirt</x:v>
      </x:c>
      <x:c r="B8" s="13" t="str">
        <x:v>clothing</x:v>
      </x:c>
      <x:c r="C8" s="13" t="str">
        <x:v>하복셔츠</x:v>
      </x:c>
      <x:c r="D8" s="13" t="n">
        <x:v>50</x:v>
      </x:c>
      <x:c r="E8" s="13" t="str">
        <x:v>boy-summer-shirt/girl-summer-shirt</x:v>
      </x:c>
      <x:c r="F8" s="13" t="str">
        <x:v>50P부터 해제</x:v>
      </x:c>
      <x:c r="G8" s="13" t="str">
        <x:v>Y</x:v>
      </x:c>
    </x:row>
    <x:row r="9" ht="15" hidden="0" customHeight="1">
      <x:c r="A9" s="13" t="str">
        <x:v>summer-pe</x:v>
      </x:c>
      <x:c r="B9" s="13" t="str">
        <x:v>clothing</x:v>
      </x:c>
      <x:c r="C9" s="13" t="str">
        <x:v>하복체육복</x:v>
      </x:c>
      <x:c r="D9" s="13" t="n">
        <x:v>80</x:v>
      </x:c>
      <x:c r="E9" s="13" t="str">
        <x:v>boy-summer-pe/girl-summer-pe</x:v>
      </x:c>
      <x:c r="F9" s="13" t="str">
        <x:v>80P부터 해제</x:v>
      </x:c>
      <x:c r="G9" s="13" t="str">
        <x:v>Y</x:v>
      </x:c>
    </x:row>
    <x:row r="10" ht="15" hidden="0" customHeight="1">
      <x:c r="A10" s="13" t="str">
        <x:v>summer-daily</x:v>
      </x:c>
      <x:c r="B10" s="13" t="str">
        <x:v>clothing</x:v>
      </x:c>
      <x:c r="C10" s="13" t="str">
        <x:v>하복생활복</x:v>
      </x:c>
      <x:c r="D10" s="13" t="n">
        <x:v>110</x:v>
      </x:c>
      <x:c r="E10" s="13" t="str">
        <x:v>boy-summer-daily/girl-summer-daily</x:v>
      </x:c>
      <x:c r="F10" s="13" t="str">
        <x:v>110P부터 해제</x:v>
      </x:c>
      <x:c r="G10" s="13" t="str">
        <x:v>Y</x:v>
      </x:c>
    </x:row>
    <x:row r="11" ht="15" hidden="0" customHeight="1">
      <x:c r="A11" s="13" t="str">
        <x:v>spring-fall</x:v>
      </x:c>
      <x:c r="B11" s="13" t="str">
        <x:v>clothing</x:v>
      </x:c>
      <x:c r="C11" s="13" t="str">
        <x:v>춘추복</x:v>
      </x:c>
      <x:c r="D11" s="13" t="n">
        <x:v>140</x:v>
      </x:c>
      <x:c r="E11" s="13" t="str">
        <x:v>boy-spring-fall/girl-spring-fall</x:v>
      </x:c>
      <x:c r="F11" s="13" t="str">
        <x:v>140P부터 해제</x:v>
      </x:c>
      <x:c r="G11" s="13" t="str">
        <x:v>Y</x:v>
      </x:c>
    </x:row>
    <x:row r="12" ht="15" hidden="0" customHeight="1">
      <x:c r="A12" s="13" t="str">
        <x:v>cardigan</x:v>
      </x:c>
      <x:c r="B12" s="13" t="str">
        <x:v>clothing</x:v>
      </x:c>
      <x:c r="C12" s="13" t="str">
        <x:v>가디건</x:v>
      </x:c>
      <x:c r="D12" s="13" t="n">
        <x:v>170</x:v>
      </x:c>
      <x:c r="E12" s="13" t="str">
        <x:v>boy-cardigan/girl-cardigan</x:v>
      </x:c>
      <x:c r="F12" s="13" t="str">
        <x:v>170P부터 해제</x:v>
      </x:c>
      <x:c r="G12" s="13" t="str">
        <x:v>Y</x:v>
      </x:c>
    </x:row>
    <x:row r="13" ht="15" hidden="0" customHeight="1">
      <x:c r="A13" s="13" t="str">
        <x:v>winter</x:v>
      </x:c>
      <x:c r="B13" s="13" t="str">
        <x:v>clothing</x:v>
      </x:c>
      <x:c r="C13" s="13" t="str">
        <x:v>동복</x:v>
      </x:c>
      <x:c r="D13" s="13" t="n">
        <x:v>200</x:v>
      </x:c>
      <x:c r="E13" s="13" t="str">
        <x:v>boy-winter/girl-winter</x:v>
      </x:c>
      <x:c r="F13" s="13" t="str">
        <x:v>200P부터 해제</x:v>
      </x:c>
      <x:c r="G13" s="13" t="str">
        <x:v>Y</x:v>
      </x:c>
    </x:row>
    <x:row r="14" ht="15" hidden="0" customHeight="1">
      <x:c r="A14" s="13" t="str">
        <x:v>winter-pe</x:v>
      </x:c>
      <x:c r="B14" s="13" t="str">
        <x:v>clothing</x:v>
      </x:c>
      <x:c r="C14" s="13" t="str">
        <x:v>동복체육복</x:v>
      </x:c>
      <x:c r="D14" s="13" t="n">
        <x:v>230</x:v>
      </x:c>
      <x:c r="E14" s="13" t="str">
        <x:v>boy-winter-pe/girl-winter-pe</x:v>
      </x:c>
      <x:c r="F14" s="13" t="str">
        <x:v>230P부터 해제</x:v>
      </x:c>
      <x:c r="G14" s="13" t="str">
        <x:v>Y</x:v>
      </x:c>
    </x:row>
    <x:row r="15" ht="15" hidden="0" customHeight="1">
      <x:c r="A15" s="13" t="str">
        <x:v>class-tee</x:v>
      </x:c>
      <x:c r="B15" s="13" t="str">
        <x:v>clothing</x:v>
      </x:c>
      <x:c r="C15" s="13" t="str">
        <x:v>반티</x:v>
      </x:c>
      <x:c r="D15" s="13" t="n">
        <x:v>260</x:v>
      </x:c>
      <x:c r="E15" s="13" t="str">
        <x:v>boy-class-tee/girl-class-tee</x:v>
      </x:c>
      <x:c r="F15" s="13" t="str">
        <x:v>260P부터 해제</x:v>
      </x:c>
      <x:c r="G15" s="13" t="str">
        <x:v>Y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5" hidden="0" customWidth="1"/>
    <x:col min="3" max="3" width="13.75" hidden="0" customWidth="1"/>
    <x:col min="4" max="4" width="26.25" hidden="0" customWidth="1"/>
    <x:col min="5" max="5" width="45" hidden="0" customWidth="1"/>
    <x:col min="6" max="6" width="11.25" hidden="0" customWidth="1"/>
  </x:cols>
  <x:sheetData>
    <x:row r="1" ht="19.200000762939453" hidden="0" customHeight="1">
      <x:c r="A1" s="5" t="str">
        <x:v>보상 기준</x:v>
      </x:c>
      <x:c r="B1" s="14"/>
      <x:c r="C1" s="14"/>
      <x:c r="D1" s="14"/>
      <x:c r="E1" s="14"/>
      <x:c r="F1" s="6"/>
    </x:row>
    <x:row r="2" ht="15" hidden="0" customHeight="1">
      <x:c r="A2" s="7" t="str">
        <x:v>실물 보상과 앱 안 아바타 해금 보상을 함께 관리합니다.</x:v>
      </x:c>
      <x:c r="B2" s="15"/>
      <x:c r="C2" s="15"/>
      <x:c r="D2" s="15"/>
      <x:c r="E2" s="15"/>
      <x:c r="F2" s="8"/>
    </x:row>
    <x:row r="3"/>
    <x:row r="4" ht="15" hidden="0" customHeight="1">
      <x:c r="A4" s="10" t="str">
        <x:v>reward_id</x:v>
      </x:c>
      <x:c r="B4" s="10" t="str">
        <x:v>threshold_points</x:v>
      </x:c>
      <x:c r="C4" s="10" t="str">
        <x:v>reward_type</x:v>
      </x:c>
      <x:c r="D4" s="10" t="str">
        <x:v>reward_name</x:v>
      </x:c>
      <x:c r="E4" s="10" t="str">
        <x:v>description</x:v>
      </x:c>
      <x:c r="F4" s="10" t="str">
        <x:v>active</x:v>
      </x:c>
    </x:row>
    <x:row r="5" ht="15" hidden="0" customHeight="1">
      <x:c r="A5" s="13" t="str">
        <x:v>RW001</x:v>
      </x:c>
      <x:c r="B5" s="13" t="n">
        <x:v>50</x:v>
      </x:c>
      <x:c r="C5" s="13" t="str">
        <x:v>avatar</x:v>
      </x:c>
      <x:c r="D5" s="13" t="str">
        <x:v>하복셔츠</x:v>
      </x:c>
      <x:c r="E5" s="13" t="str">
        <x:v>50P 달성 시 앱 꾸미기 아이템 해금</x:v>
      </x:c>
      <x:c r="F5" s="13" t="str">
        <x:v>Y</x:v>
      </x:c>
    </x:row>
    <x:row r="6" ht="15" hidden="0" customHeight="1">
      <x:c r="A6" s="13" t="str">
        <x:v>RW002</x:v>
      </x:c>
      <x:c r="B6" s="13" t="n">
        <x:v>80</x:v>
      </x:c>
      <x:c r="C6" s="13" t="str">
        <x:v>avatar</x:v>
      </x:c>
      <x:c r="D6" s="13" t="str">
        <x:v>하복체육복</x:v>
      </x:c>
      <x:c r="E6" s="13" t="str">
        <x:v>80P 달성 시 앱 꾸미기 아이템 해금</x:v>
      </x:c>
      <x:c r="F6" s="13" t="str">
        <x:v>Y</x:v>
      </x:c>
    </x:row>
    <x:row r="7" ht="15" hidden="0" customHeight="1">
      <x:c r="A7" s="13" t="str">
        <x:v>RW003</x:v>
      </x:c>
      <x:c r="B7" s="13" t="n">
        <x:v>110</x:v>
      </x:c>
      <x:c r="C7" s="13" t="str">
        <x:v>avatar</x:v>
      </x:c>
      <x:c r="D7" s="13" t="str">
        <x:v>하복생활복</x:v>
      </x:c>
      <x:c r="E7" s="13" t="str">
        <x:v>110P 달성 시 앱 꾸미기 아이템 해금</x:v>
      </x:c>
      <x:c r="F7" s="13" t="str">
        <x:v>Y</x:v>
      </x:c>
    </x:row>
    <x:row r="8" ht="15" hidden="0" customHeight="1">
      <x:c r="A8" s="13" t="str">
        <x:v>RW004</x:v>
      </x:c>
      <x:c r="B8" s="13" t="n">
        <x:v>140</x:v>
      </x:c>
      <x:c r="C8" s="13" t="str">
        <x:v>avatar</x:v>
      </x:c>
      <x:c r="D8" s="13" t="str">
        <x:v>춘추복</x:v>
      </x:c>
      <x:c r="E8" s="13" t="str">
        <x:v>140P 달성 시 앱 꾸미기 아이템 해금</x:v>
      </x:c>
      <x:c r="F8" s="13" t="str">
        <x:v>Y</x:v>
      </x:c>
    </x:row>
    <x:row r="9" ht="15" hidden="0" customHeight="1">
      <x:c r="A9" s="13" t="str">
        <x:v>RW005</x:v>
      </x:c>
      <x:c r="B9" s="13" t="n">
        <x:v>170</x:v>
      </x:c>
      <x:c r="C9" s="13" t="str">
        <x:v>avatar</x:v>
      </x:c>
      <x:c r="D9" s="13" t="str">
        <x:v>가디건</x:v>
      </x:c>
      <x:c r="E9" s="13" t="str">
        <x:v>170P 달성 시 앱 꾸미기 아이템 해금</x:v>
      </x:c>
      <x:c r="F9" s="13" t="str">
        <x:v>Y</x:v>
      </x:c>
    </x:row>
    <x:row r="10" ht="15" hidden="0" customHeight="1">
      <x:c r="A10" s="13" t="str">
        <x:v>RW006</x:v>
      </x:c>
      <x:c r="B10" s="13" t="n">
        <x:v>200</x:v>
      </x:c>
      <x:c r="C10" s="13" t="str">
        <x:v>avatar</x:v>
      </x:c>
      <x:c r="D10" s="13" t="str">
        <x:v>동복</x:v>
      </x:c>
      <x:c r="E10" s="13" t="str">
        <x:v>200P 달성 시 앱 꾸미기 아이템 해금</x:v>
      </x:c>
      <x:c r="F10" s="13" t="str">
        <x:v>Y</x:v>
      </x:c>
    </x:row>
    <x:row r="11" ht="15" hidden="0" customHeight="1">
      <x:c r="A11" s="13" t="str">
        <x:v>RW007</x:v>
      </x:c>
      <x:c r="B11" s="13" t="n">
        <x:v>230</x:v>
      </x:c>
      <x:c r="C11" s="13" t="str">
        <x:v>avatar</x:v>
      </x:c>
      <x:c r="D11" s="13" t="str">
        <x:v>동복체육복</x:v>
      </x:c>
      <x:c r="E11" s="13" t="str">
        <x:v>230P 달성 시 앱 꾸미기 아이템 해금</x:v>
      </x:c>
      <x:c r="F11" s="13" t="str">
        <x:v>Y</x:v>
      </x:c>
    </x:row>
    <x:row r="12" ht="15" hidden="0" customHeight="1">
      <x:c r="A12" s="13" t="str">
        <x:v>RW008</x:v>
      </x:c>
      <x:c r="B12" s="13" t="n">
        <x:v>260</x:v>
      </x:c>
      <x:c r="C12" s="13" t="str">
        <x:v>avatar</x:v>
      </x:c>
      <x:c r="D12" s="13" t="str">
        <x:v>반티</x:v>
      </x:c>
      <x:c r="E12" s="13" t="str">
        <x:v>260P 달성 시 앱 꾸미기 아이템 해금</x:v>
      </x:c>
      <x:c r="F12" s="13" t="str">
        <x:v>Y</x:v>
      </x:c>
    </x:row>
    <x:row r="13" ht="15" hidden="0" customHeight="1">
      <x:c r="A13" s="13" t="str">
        <x:v>RW009</x:v>
      </x:c>
      <x:c r="B13" s="13" t="n">
        <x:v>300</x:v>
      </x:c>
      <x:c r="C13" s="13" t="str">
        <x:v>real</x:v>
      </x:c>
      <x:c r="D13" s="13" t="str">
        <x:v>간식 쿠폰</x:v>
      </x:c>
      <x:c r="E13" s="13" t="str">
        <x:v>300P 달성 시 교사가 실물 보상 지급 여부 확인</x:v>
      </x:c>
      <x:c r="F13" s="13" t="str">
        <x:v>Y</x:v>
      </x:c>
    </x:row>
  </x:sheetData>
  <x:mergeCells>
    <x:mergeCell ref="A1:F1"/>
    <x:mergeCell ref="A2:F2"/>
  </x:mergeCells>
  <x:pageMargins left="0.7" right="0.7" top="0.75" bottom="0.75" header="0.3" footer="0.3"/>
</x:worksheet>
</file>